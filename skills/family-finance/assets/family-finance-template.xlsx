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_config" sheetId="1" r:id="rId1"/>
    <sheet name="_snapshots" sheetId="2" r:id="rId2"/>
    <sheet name="_imports" sheetId="3" r:id="rId3"/>
    <sheet name="_template_cashflow" sheetId="4" r:id="rId4"/>
    <sheet name="_template_balance" sheetId="5" r:id="rId5"/>
  </sheets>
</workbook>
</file>

<file path=xl/styles.xml><?xml version="1.0" encoding="utf-8"?>
<styleSheet xmlns="http://schemas.openxmlformats.org/spreadsheetml/2006/main">
  <fonts count="2">
    <font>
      <sz val="11"/>
      <name val="Arial"/>
    </font>
    <font>
      <b/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E8F3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
  <Relationship Id="rId6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B4"/>
  <sheetViews>
    <sheetView workbookViewId="0"/>
  </sheetViews>
  <sheetFormatPr defaultRowHeight="18"/>
  <sheetData>
    <row r="1">
      <c r="A1" t="inlineStr" s="1">
        <is>
          <t>家庭财务配置表</t>
        </is>
      </c>
    </row>
    <row r="2">
      <c r="A2" t="inlineStr">
        <is>
          <t>风险提示</t>
        </is>
      </c>
      <c r="B2" t="inlineStr">
        <is>
          <t>此表由 family-finance skill 管理。可以查看和谨慎修改；修改版本、字段映射或 sheet id 可能导致自动更新失败。</t>
        </is>
      </c>
    </row>
    <row r="3">
      <c r="A3" t="inlineStr">
        <is>
          <t>template_version</t>
        </is>
      </c>
      <c r="B3" t="inlineStr">
        <is>
          <t>1.0.0</t>
        </is>
      </c>
    </row>
    <row r="4">
      <c r="A4" t="inlineStr">
        <is>
          <t>schema_version</t>
        </is>
      </c>
      <c r="B4" t="inlineStr">
        <is>
          <t>1.0.0</t>
        </is>
      </c>
    </row>
  </sheetData>
</worksheet>
</file>

<file path=xl/worksheets/sheet2.xml><?xml version="1.0" encoding="utf-8"?>
<worksheet xmlns="http://schemas.openxmlformats.org/spreadsheetml/2006/main">
  <dimension ref="A1:E1"/>
  <sheetViews>
    <sheetView workbookViewId="0"/>
  </sheetViews>
  <sheetFormatPr defaultRowHeight="18"/>
  <sheetData>
    <row r="1">
      <c r="A1" t="inlineStr" s="1">
        <is>
          <t>snapshot_id</t>
        </is>
      </c>
      <c r="B1" t="inlineStr" s="1">
        <is>
          <t>created_at</t>
        </is>
      </c>
      <c r="C1" t="inlineStr" s="1">
        <is>
          <t>year_month</t>
        </is>
      </c>
      <c r="D1" t="inlineStr" s="1">
        <is>
          <t>net_worth_wan</t>
        </is>
      </c>
      <c r="E1" t="inlineStr" s="1">
        <is>
          <t>note</t>
        </is>
      </c>
    </row>
  </sheetData>
</worksheet>
</file>

<file path=xl/worksheets/sheet3.xml><?xml version="1.0" encoding="utf-8"?>
<worksheet xmlns="http://schemas.openxmlformats.org/spreadsheetml/2006/main">
  <dimension ref="A1:G1"/>
  <sheetViews>
    <sheetView workbookViewId="0"/>
  </sheetViews>
  <sheetFormatPr defaultRowHeight="18"/>
  <sheetData>
    <row r="1">
      <c r="A1" t="inlineStr" s="1">
        <is>
          <t>operation_id</t>
        </is>
      </c>
      <c r="B1" t="inlineStr" s="1">
        <is>
          <t>preview_id</t>
        </is>
      </c>
      <c r="C1" t="inlineStr" s="1">
        <is>
          <t>status</t>
        </is>
      </c>
      <c r="D1" t="inlineStr" s="1">
        <is>
          <t>started_at</t>
        </is>
      </c>
      <c r="E1" t="inlineStr" s="1">
        <is>
          <t>finished_at</t>
        </is>
      </c>
      <c r="F1" t="inlineStr" s="1">
        <is>
          <t>ranges</t>
        </is>
      </c>
      <c r="G1" t="inlineStr" s="1">
        <is>
          <t>recovery_note</t>
        </is>
      </c>
    </row>
  </sheetData>
</worksheet>
</file>

<file path=xl/worksheets/sheet4.xml><?xml version="1.0" encoding="utf-8"?>
<worksheet xmlns="http://schemas.openxmlformats.org/spreadsheetml/2006/main">
  <dimension ref="A1:AC18"/>
  <sheetViews>
    <sheetView workbookViewId="0">
      <pane xSplit="1" ySplit="1" topLeftCell="B2" activePane="bottomRight" state="frozen"/>
    </sheetView>
  </sheetViews>
  <sheetFormatPr defaultRowHeight="18"/>
  <sheetData>
    <row r="1">
      <c r="B1" t="inlineStr" s="1">
        <is>
          <t>成员A工资</t>
        </is>
      </c>
      <c r="C1" t="inlineStr" s="1">
        <is>
          <t>成员B工资</t>
        </is>
      </c>
      <c r="D1" t="inlineStr" s="1">
        <is>
          <t>公积金</t>
        </is>
      </c>
      <c r="E1" t="inlineStr" s="1">
        <is>
          <t>其他收入</t>
        </is>
      </c>
      <c r="F1" t="inlineStr" s="1">
        <is>
          <t>收入说明</t>
        </is>
      </c>
      <c r="H1" t="inlineStr" s="1">
        <is>
          <t>固定支出</t>
        </is>
      </c>
      <c r="I1" t="inlineStr" s="1">
        <is>
          <t>弹性支出</t>
        </is>
      </c>
      <c r="J1" t="inlineStr" s="1">
        <is>
          <t>特殊支出</t>
        </is>
      </c>
      <c r="K1" t="inlineStr" s="1">
        <is>
          <t>支出说明</t>
        </is>
      </c>
      <c r="M1" t="inlineStr" s="1">
        <is>
          <t>定期转化</t>
        </is>
      </c>
      <c r="N1" t="inlineStr" s="1">
        <is>
          <t>其他转化</t>
        </is>
      </c>
      <c r="O1" t="inlineStr" s="1">
        <is>
          <t>资产转化说明</t>
        </is>
      </c>
      <c r="Q1" t="inlineStr" s="1">
        <is>
          <t>本行收支</t>
        </is>
      </c>
      <c r="R1" t="inlineStr" s="1">
        <is>
          <t>累计收支</t>
        </is>
      </c>
      <c r="S1" t="inlineStr" s="1">
        <is>
          <t>本行现金流</t>
        </is>
      </c>
      <c r="T1" t="inlineStr" s="1">
        <is>
          <t>剩余现金</t>
        </is>
      </c>
      <c r="V1" t="inlineStr" s="1">
        <is>
          <t>公司股权/RSU数量</t>
        </is>
      </c>
      <c r="W1" t="inlineStr" s="1">
        <is>
          <t>公司股权/RSU金额</t>
        </is>
      </c>
      <c r="X1" t="inlineStr" s="1">
        <is>
          <t>资产收入</t>
        </is>
      </c>
      <c r="Y1" t="inlineStr" s="1">
        <is>
          <t>资产减损</t>
        </is>
      </c>
      <c r="Z1" t="inlineStr" s="1">
        <is>
          <t>资产收支说明</t>
        </is>
      </c>
      <c r="AB1" t="inlineStr" s="1">
        <is>
          <t>本行资产变化</t>
        </is>
      </c>
      <c r="AC1" t="inlineStr" s="1">
        <is>
          <t>累计资产变化</t>
        </is>
      </c>
    </row>
    <row r="2">
      <c r="A2" t="inlineStr">
        <is>
          <t>起始</t>
        </is>
      </c>
      <c r="V2" t="inlineStr">
        <is>
          <t>RSU计价</t>
        </is>
      </c>
    </row>
    <row r="3">
      <c r="A3" t="inlineStr">
        <is>
          <t>1月</t>
        </is>
      </c>
      <c r="Q3">
        <f>B3+C3+D3+E3-H3-I3-J3</f>
      </c>
      <c r="R3">
        <f>R2+Q3</f>
      </c>
      <c r="S3">
        <f>Q3-M3-N3</f>
      </c>
      <c r="T3">
        <f>T2+S3</f>
      </c>
      <c r="W3">
        <f>V3*W2</f>
      </c>
      <c r="AB3">
        <f>Q3+W3+X3-Y3</f>
      </c>
      <c r="AC3">
        <f>AC2+AB3</f>
      </c>
    </row>
    <row r="4">
      <c r="A4" t="inlineStr">
        <is>
          <t>2月</t>
        </is>
      </c>
      <c r="Q4">
        <f>B4+C4+D4+E4-H4-I4-J4</f>
      </c>
      <c r="R4">
        <f>R3+Q4</f>
      </c>
      <c r="S4">
        <f>Q4-M4-N4</f>
      </c>
      <c r="T4">
        <f>T3+S4</f>
      </c>
      <c r="W4">
        <f>V4*W2</f>
      </c>
      <c r="AB4">
        <f>Q4+W4+X4-Y4</f>
      </c>
      <c r="AC4">
        <f>AC3+AB4</f>
      </c>
    </row>
    <row r="5">
      <c r="A5" t="inlineStr">
        <is>
          <t>3月</t>
        </is>
      </c>
      <c r="Q5">
        <f>B5+C5+D5+E5-H5-I5-J5</f>
      </c>
      <c r="R5">
        <f>R4+Q5</f>
      </c>
      <c r="S5">
        <f>Q5-M5-N5</f>
      </c>
      <c r="T5">
        <f>T4+S5</f>
      </c>
      <c r="W5">
        <f>V5*W2</f>
      </c>
      <c r="AB5">
        <f>Q5+W5+X5-Y5</f>
      </c>
      <c r="AC5">
        <f>AC4+AB5</f>
      </c>
    </row>
    <row r="6">
      <c r="A6" t="inlineStr">
        <is>
          <t>4月</t>
        </is>
      </c>
      <c r="Q6">
        <f>B6+C6+D6+E6-H6-I6-J6</f>
      </c>
      <c r="R6">
        <f>R5+Q6</f>
      </c>
      <c r="S6">
        <f>Q6-M6-N6</f>
      </c>
      <c r="T6">
        <f>T5+S6</f>
      </c>
      <c r="W6">
        <f>V6*W2</f>
      </c>
      <c r="AB6">
        <f>Q6+W6+X6-Y6</f>
      </c>
      <c r="AC6">
        <f>AC5+AB6</f>
      </c>
    </row>
    <row r="7">
      <c r="A7" t="inlineStr">
        <is>
          <t>5月</t>
        </is>
      </c>
      <c r="Q7">
        <f>B7+C7+D7+E7-H7-I7-J7</f>
      </c>
      <c r="R7">
        <f>R6+Q7</f>
      </c>
      <c r="S7">
        <f>Q7-M7-N7</f>
      </c>
      <c r="T7">
        <f>T6+S7</f>
      </c>
      <c r="W7">
        <f>V7*W2</f>
      </c>
      <c r="AB7">
        <f>Q7+W7+X7-Y7</f>
      </c>
      <c r="AC7">
        <f>AC6+AB7</f>
      </c>
    </row>
    <row r="8">
      <c r="A8" t="inlineStr">
        <is>
          <t>6月</t>
        </is>
      </c>
      <c r="Q8">
        <f>B8+C8+D8+E8-H8-I8-J8</f>
      </c>
      <c r="R8">
        <f>R7+Q8</f>
      </c>
      <c r="S8">
        <f>Q8-M8-N8</f>
      </c>
      <c r="T8">
        <f>T7+S8</f>
      </c>
      <c r="W8">
        <f>V8*W2</f>
      </c>
      <c r="AB8">
        <f>Q8+W8+X8-Y8</f>
      </c>
      <c r="AC8">
        <f>AC7+AB8</f>
      </c>
    </row>
    <row r="9">
      <c r="A9" t="inlineStr">
        <is>
          <t>7月</t>
        </is>
      </c>
      <c r="Q9">
        <f>B9+C9+D9+E9-H9-I9-J9</f>
      </c>
      <c r="R9">
        <f>R8+Q9</f>
      </c>
      <c r="S9">
        <f>Q9-M9-N9</f>
      </c>
      <c r="T9">
        <f>T8+S9</f>
      </c>
      <c r="W9">
        <f>V9*W2</f>
      </c>
      <c r="AB9">
        <f>Q9+W9+X9-Y9</f>
      </c>
      <c r="AC9">
        <f>AC8+AB9</f>
      </c>
    </row>
    <row r="10">
      <c r="A10" t="inlineStr">
        <is>
          <t>8月</t>
        </is>
      </c>
      <c r="Q10">
        <f>B10+C10+D10+E10-H10-I10-J10</f>
      </c>
      <c r="R10">
        <f>R9+Q10</f>
      </c>
      <c r="S10">
        <f>Q10-M10-N10</f>
      </c>
      <c r="T10">
        <f>T9+S10</f>
      </c>
      <c r="W10">
        <f>V10*W2</f>
      </c>
      <c r="AB10">
        <f>Q10+W10+X10-Y10</f>
      </c>
      <c r="AC10">
        <f>AC9+AB10</f>
      </c>
    </row>
    <row r="11">
      <c r="A11" t="inlineStr">
        <is>
          <t>9月</t>
        </is>
      </c>
      <c r="Q11">
        <f>B11+C11+D11+E11-H11-I11-J11</f>
      </c>
      <c r="R11">
        <f>R10+Q11</f>
      </c>
      <c r="S11">
        <f>Q11-M11-N11</f>
      </c>
      <c r="T11">
        <f>T10+S11</f>
      </c>
      <c r="W11">
        <f>V11*W2</f>
      </c>
      <c r="AB11">
        <f>Q11+W11+X11-Y11</f>
      </c>
      <c r="AC11">
        <f>AC10+AB11</f>
      </c>
    </row>
    <row r="12">
      <c r="A12" t="inlineStr">
        <is>
          <t>10月</t>
        </is>
      </c>
      <c r="Q12">
        <f>B12+C12+D12+E12-H12-I12-J12</f>
      </c>
      <c r="R12">
        <f>R11+Q12</f>
      </c>
      <c r="S12">
        <f>Q12-M12-N12</f>
      </c>
      <c r="T12">
        <f>T11+S12</f>
      </c>
      <c r="W12">
        <f>V12*W2</f>
      </c>
      <c r="AB12">
        <f>Q12+W12+X12-Y12</f>
      </c>
      <c r="AC12">
        <f>AC11+AB12</f>
      </c>
    </row>
    <row r="13">
      <c r="A13" t="inlineStr">
        <is>
          <t>11月</t>
        </is>
      </c>
      <c r="Q13">
        <f>B13+C13+D13+E13-H13-I13-J13</f>
      </c>
      <c r="R13">
        <f>R12+Q13</f>
      </c>
      <c r="S13">
        <f>Q13-M13-N13</f>
      </c>
      <c r="T13">
        <f>T12+S13</f>
      </c>
      <c r="W13">
        <f>V13*W2</f>
      </c>
      <c r="AB13">
        <f>Q13+W13+X13-Y13</f>
      </c>
      <c r="AC13">
        <f>AC12+AB13</f>
      </c>
    </row>
    <row r="14">
      <c r="A14" t="inlineStr">
        <is>
          <t>12月</t>
        </is>
      </c>
      <c r="Q14">
        <f>B14+C14+D14+E14-H14-I14-J14</f>
      </c>
      <c r="R14">
        <f>R13+Q14</f>
      </c>
      <c r="S14">
        <f>Q14-M14-N14</f>
      </c>
      <c r="T14">
        <f>T13+S14</f>
      </c>
      <c r="W14">
        <f>V14*W2</f>
      </c>
      <c r="AB14">
        <f>Q14+W14+X14-Y14</f>
      </c>
      <c r="AC14">
        <f>AC13+AB14</f>
      </c>
    </row>
    <row r="15"/>
    <row r="16">
      <c r="A16" t="inlineStr">
        <is>
          <t>收入小记</t>
        </is>
      </c>
      <c r="B16">
        <f>SUM(B3:B14)</f>
      </c>
      <c r="C16">
        <f>SUM(C3:C14)</f>
      </c>
      <c r="D16">
        <f>SUM(D3:D14)</f>
      </c>
      <c r="E16">
        <f>SUM(E3:E14)</f>
      </c>
      <c r="G16" t="inlineStr">
        <is>
          <t>支出小记</t>
        </is>
      </c>
      <c r="H16">
        <f>SUM(H3:H14)</f>
      </c>
      <c r="I16">
        <f>SUM(I3:I14)</f>
      </c>
      <c r="J16">
        <f>SUM(J3:J14)</f>
      </c>
      <c r="L16" t="inlineStr">
        <is>
          <t>资产转化小计</t>
        </is>
      </c>
      <c r="M16">
        <f>SUM(M3:M14)</f>
      </c>
      <c r="N16">
        <f>SUM(N3:N14)</f>
      </c>
      <c r="P16" t="inlineStr">
        <is>
          <t>收支结余</t>
        </is>
      </c>
      <c r="Q16">
        <f>SUM(Q3:Q14)</f>
      </c>
      <c r="U16" t="inlineStr">
        <is>
          <t>资产小记</t>
        </is>
      </c>
      <c r="V16">
        <f>SUM(V3:V14)</f>
      </c>
      <c r="W16">
        <f>SUM(W3:W14)</f>
      </c>
      <c r="X16">
        <f>SUM(X3:X14)</f>
      </c>
      <c r="Y16">
        <f>SUM(Y3:Y14)</f>
      </c>
    </row>
    <row r="17">
      <c r="A17" t="inlineStr">
        <is>
          <t>收入总计</t>
        </is>
      </c>
      <c r="B17">
        <f>SUM(B16:E16)</f>
      </c>
      <c r="G17" t="inlineStr">
        <is>
          <t>支出总计</t>
        </is>
      </c>
      <c r="H17">
        <f>SUM(H16:J16)</f>
      </c>
      <c r="L17" t="inlineStr">
        <is>
          <t>资产转化总计</t>
        </is>
      </c>
      <c r="M17">
        <f>M16+N16</f>
      </c>
      <c r="P17" t="inlineStr">
        <is>
          <t>现金结余</t>
        </is>
      </c>
      <c r="Q17">
        <f>SUM(S3:S14)</f>
      </c>
      <c r="U17" t="inlineStr">
        <is>
          <t>资产收支总计</t>
        </is>
      </c>
      <c r="V17">
        <f>W16+X16-Y16</f>
      </c>
      <c r="AA17" t="inlineStr">
        <is>
          <t>资产变化总计</t>
        </is>
      </c>
      <c r="AB17">
        <f>SUM(AB3:AB14)</f>
      </c>
    </row>
    <row r="18">
      <c r="A18" t="inlineStr">
        <is>
          <t>收入说明</t>
        </is>
      </c>
      <c r="B18" t="inlineStr">
        <is>
          <t>记录工资、公积金、奖金、退税等收入。非周期收入写入其他收入并补充说明。</t>
        </is>
      </c>
      <c r="G18" t="inlineStr">
        <is>
          <t>支出说明</t>
        </is>
      </c>
      <c r="H18" t="inlineStr">
        <is>
          <t>固定支出记录房贷、租金、保险等稳定支出；弹性支出记录生活消费；特殊支出记录非周期大额事项。</t>
        </is>
      </c>
      <c r="L18" t="inlineStr">
        <is>
          <t>资产转化说明</t>
        </is>
      </c>
      <c r="M18" t="inlineStr">
        <is>
          <t>记录现金转为资产、还贷款本金、长期账户入金等不改变净资产但影响现金流的事项。</t>
        </is>
      </c>
      <c r="P18" t="inlineStr">
        <is>
          <t>结余说明</t>
        </is>
      </c>
      <c r="Q18" t="inlineStr">
        <is>
          <t>建议保留覆盖 6-12 个月必要支出的现金安全垫。</t>
        </is>
      </c>
      <c r="U18" t="inlineStr">
        <is>
          <t>资产收支说明</t>
        </is>
      </c>
      <c r="V18" t="inlineStr">
        <is>
          <t>记录公司股权、资产收入、资产减损、固定资产折旧等不一定经过现金账户的资产变化。</t>
        </is>
      </c>
    </row>
  </sheetData>
</worksheet>
</file>

<file path=xl/worksheets/sheet5.xml><?xml version="1.0" encoding="utf-8"?>
<worksheet xmlns="http://schemas.openxmlformats.org/spreadsheetml/2006/main">
  <dimension ref="A1:M14"/>
  <sheetViews>
    <sheetView workbookViewId="0">
      <pane ySplit="1" topLeftCell="A2" activePane="bottomRight" state="frozen"/>
    </sheetView>
  </sheetViews>
  <sheetFormatPr defaultRowHeight="18"/>
  <sheetData>
    <row r="1">
      <c r="A1" t="inlineStr" s="1">
        <is>
          <t>债务项</t>
        </is>
      </c>
      <c r="B1" t="inlineStr" s="1">
        <is>
          <t>利率</t>
        </is>
      </c>
      <c r="C1" t="inlineStr" s="1">
        <is>
          <t>现值(万)</t>
        </is>
      </c>
      <c r="E1" t="inlineStr" s="1">
        <is>
          <t>流动资产项</t>
        </is>
      </c>
      <c r="F1" t="inlineStr" s="1">
        <is>
          <t>成本(万)</t>
        </is>
      </c>
      <c r="G1" t="inlineStr" s="1">
        <is>
          <t>现值(万)</t>
        </is>
      </c>
      <c r="H1" t="inlineStr" s="1">
        <is>
          <t>占比</t>
        </is>
      </c>
      <c r="I1" t="inlineStr" s="1">
        <is>
          <t>未来合理占比</t>
        </is>
      </c>
      <c r="K1" t="inlineStr" s="1">
        <is>
          <t>非流动资产项</t>
        </is>
      </c>
      <c r="L1" t="inlineStr" s="1">
        <is>
          <t>成本(万)</t>
        </is>
      </c>
      <c r="M1" t="inlineStr" s="1">
        <is>
          <t>现值(万)</t>
        </is>
      </c>
    </row>
    <row r="2">
      <c r="A2" t="inlineStr">
        <is>
          <t>住房贷款</t>
        </is>
      </c>
      <c r="E2" t="inlineStr">
        <is>
          <t>防御层</t>
        </is>
      </c>
      <c r="H2">
        <f>SUM(H3:H6)</f>
      </c>
      <c r="I2">
        <v>0.4</v>
      </c>
      <c r="K2" t="inlineStr">
        <is>
          <t>房产</t>
        </is>
      </c>
    </row>
    <row r="3">
      <c r="A3" t="inlineStr">
        <is>
          <t>消费贷/备用贷款</t>
        </is>
      </c>
      <c r="E3" t="inlineStr">
        <is>
          <t>现金及短债</t>
        </is>
      </c>
      <c r="H3">
        <f>IFERROR(DIVIDE(G3,G13),0)</f>
      </c>
      <c r="I3">
        <v>0.05</v>
      </c>
      <c r="K3" t="inlineStr">
        <is>
          <t>车位/其他不动产</t>
        </is>
      </c>
    </row>
    <row r="4">
      <c r="A4" t="inlineStr">
        <is>
          <t>车贷</t>
        </is>
      </c>
      <c r="E4" t="inlineStr">
        <is>
          <t>公积金账户</t>
        </is>
      </c>
      <c r="H4">
        <f>IFERROR(DIVIDE(G4,G13),0)</f>
      </c>
      <c r="K4" t="inlineStr">
        <is>
          <t>车辆资产</t>
        </is>
      </c>
    </row>
    <row r="5">
      <c r="E5" t="inlineStr">
        <is>
          <t>实物黄金</t>
        </is>
      </c>
      <c r="H5">
        <f>IFERROR(DIVIDE(G5,G13),0)</f>
      </c>
      <c r="I5">
        <v>0.15</v>
      </c>
      <c r="K5" t="inlineStr">
        <is>
          <t>个人养老金账户A</t>
        </is>
      </c>
    </row>
    <row r="6">
      <c r="E6" t="inlineStr">
        <is>
          <t>贷款备还金</t>
        </is>
      </c>
      <c r="H6">
        <f>IFERROR(DIVIDE(G6,G13),0)</f>
      </c>
      <c r="I6">
        <v>0.2</v>
      </c>
      <c r="K6" t="inlineStr">
        <is>
          <t>个人养老金账户B</t>
        </is>
      </c>
    </row>
    <row r="7">
      <c r="E7" t="inlineStr">
        <is>
          <t>Beta层</t>
        </is>
      </c>
      <c r="H7">
        <f>SUM(H8:H9)</f>
      </c>
      <c r="I7">
        <v>0.4</v>
      </c>
    </row>
    <row r="8">
      <c r="E8" t="inlineStr">
        <is>
          <t>宽基基金账户</t>
        </is>
      </c>
      <c r="H8">
        <f>IFERROR(DIVIDE(G8,G13),0)</f>
      </c>
      <c r="I8">
        <v>0.28</v>
      </c>
    </row>
    <row r="9">
      <c r="E9" t="inlineStr">
        <is>
          <t>海外指数账户</t>
        </is>
      </c>
      <c r="H9">
        <f>IFERROR(DIVIDE(G9,G13),0)</f>
      </c>
    </row>
    <row r="10">
      <c r="E10" t="inlineStr">
        <is>
          <t>Alpha层</t>
        </is>
      </c>
      <c r="H10">
        <f>SUM(H11:H12)</f>
      </c>
      <c r="I10">
        <v>0.2</v>
      </c>
    </row>
    <row r="11">
      <c r="E11" t="inlineStr">
        <is>
          <t>个股/主动账户</t>
        </is>
      </c>
      <c r="H11">
        <f>IFERROR(DIVIDE(G11,G13),0)</f>
      </c>
      <c r="I11">
        <v>0.2</v>
      </c>
    </row>
    <row r="12">
      <c r="E12" t="inlineStr">
        <is>
          <t>公司股权/RSU</t>
        </is>
      </c>
      <c r="H12">
        <f>IFERROR(DIVIDE(G12,G13),0)</f>
      </c>
    </row>
    <row r="13">
      <c r="A13" t="inlineStr">
        <is>
          <t>负债总计</t>
        </is>
      </c>
      <c r="C13">
        <f>SUM(C2:C12)</f>
      </c>
      <c r="E13" t="inlineStr">
        <is>
          <t>流动资产总计</t>
        </is>
      </c>
      <c r="F13">
        <f>SUM(F3:F12)</f>
      </c>
      <c r="G13">
        <f>SUM(G3:G12)</f>
      </c>
      <c r="K13" t="inlineStr">
        <is>
          <t>固定资产总计</t>
        </is>
      </c>
      <c r="L13">
        <f>SUM(L2:L12)</f>
      </c>
      <c r="M13">
        <f>SUM(M2:M12)</f>
      </c>
    </row>
    <row r="14">
      <c r="K14" t="inlineStr">
        <is>
          <t>净资产</t>
        </is>
      </c>
      <c r="L14">
        <f>-C13+G13+M13</f>
      </c>
    </row>
  </sheetData>
</worksheet>
</file>

<file path=docProps/app.xml><?xml version="1.0" encoding="utf-8"?>
<Properties xmlns="http://schemas.openxmlformats.org/officeDocument/2006/extended-properties">
  <Application>family-finance skill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Family Finance Template</dc:title>
  <dc:creator>family-finance skill</dc:creator>
  <dcterms:created xsi:type="dcterms:W3CDTF">2026-05-25T00:00:00Z</dcterms:created>
</cp:coreProperties>
</file>