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_config" sheetId="1" r:id="rId1"/>
    <sheet name="_snapshots" sheetId="2" r:id="rId2"/>
    <sheet name="_imports" sheetId="3" r:id="rId3"/>
    <sheet name="_template_cashflow" sheetId="4" r:id="rId4"/>
    <sheet name="_template_balance" sheetId="5" r:id="rId5"/>
  </sheets>
</workbook>
</file>

<file path=xl/styles.xml><?xml version="1.0" encoding="utf-8"?>
<styleSheet xmlns="http://schemas.openxmlformats.org/spreadsheetml/2006/main">
  <fonts count="2">
    <font>
      <sz val="13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10" fontId="1" fillId="2" borderId="0" xfId="0" applyFont="1" applyFill="1" applyNumberFormat="1"/>
    <xf numFmtId="9" fontId="1" fillId="2" borderId="0" xfId="0" applyFont="1" applyFill="1" applyNumberFormat="1"/>
    <xf numFmtId="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4"/>
  <sheetViews>
    <sheetView workbookViewId="0"/>
  </sheetViews>
  <sheetFormatPr defaultRowHeight="18"/>
  <sheetData>
    <row r="1">
      <c r="A1" t="inlineStr">
        <is>
          <t>家庭财务配置表</t>
        </is>
      </c>
    </row>
    <row r="2">
      <c r="A2" t="inlineStr">
        <is>
          <t>风险提示</t>
        </is>
      </c>
      <c r="B2" t="inlineStr">
        <is>
          <t>此表由 family-finance skill 管理。可以查看和谨慎修改；修改版本、字段映射或 sheet id 可能导致自动更新失败。</t>
        </is>
      </c>
    </row>
    <row r="3">
      <c r="A3" t="inlineStr">
        <is>
          <t>template_version</t>
        </is>
      </c>
      <c r="B3" t="inlineStr">
        <is>
          <t>2.0.0</t>
        </is>
      </c>
    </row>
    <row r="4">
      <c r="A4" t="inlineStr">
        <is>
          <t>schema_version</t>
        </is>
      </c>
      <c r="B4" t="inlineStr">
        <is>
          <t>2.0.0</t>
        </is>
      </c>
    </row>
  </sheetData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8"/>
  <sheetData>
    <row r="1">
      <c r="A1" t="inlineStr">
        <is>
          <t>snapshot_id</t>
        </is>
      </c>
      <c r="B1" t="inlineStr">
        <is>
          <t>created_at</t>
        </is>
      </c>
      <c r="C1" t="inlineStr">
        <is>
          <t>year_month</t>
        </is>
      </c>
      <c r="D1" t="inlineStr">
        <is>
          <t>net_worth_wan</t>
        </is>
      </c>
      <c r="E1" t="inlineStr">
        <is>
          <t>note</t>
        </is>
      </c>
    </row>
  </sheetData>
</worksheet>
</file>

<file path=xl/worksheets/sheet3.xml><?xml version="1.0" encoding="utf-8"?>
<worksheet xmlns="http://schemas.openxmlformats.org/spreadsheetml/2006/main">
  <dimension ref="A1:G1"/>
  <sheetViews>
    <sheetView workbookViewId="0"/>
  </sheetViews>
  <sheetFormatPr defaultRowHeight="18"/>
  <sheetData>
    <row r="1">
      <c r="A1" t="inlineStr">
        <is>
          <t>operation_id</t>
        </is>
      </c>
      <c r="B1" t="inlineStr">
        <is>
          <t>preview_id</t>
        </is>
      </c>
      <c r="C1" t="inlineStr">
        <is>
          <t>status</t>
        </is>
      </c>
      <c r="D1" t="inlineStr">
        <is>
          <t>started_at</t>
        </is>
      </c>
      <c r="E1" t="inlineStr">
        <is>
          <t>finished_at</t>
        </is>
      </c>
      <c r="F1" t="inlineStr">
        <is>
          <t>ranges</t>
        </is>
      </c>
      <c r="G1" t="inlineStr">
        <is>
          <t>recovery_note</t>
        </is>
      </c>
    </row>
  </sheetData>
</worksheet>
</file>

<file path=xl/worksheets/sheet4.xml><?xml version="1.0" encoding="utf-8"?>
<worksheet xmlns="http://schemas.openxmlformats.org/spreadsheetml/2006/main">
  <dimension ref="A1:AI18"/>
  <sheetViews>
    <sheetView workbookViewId="0">
      <pane xSplit="1" ySplit="1" topLeftCell="B2" activePane="bottomRight" state="frozen"/>
    </sheetView>
  </sheetViews>
  <sheetFormatPr defaultRowHeight="20.25"/>
  <cols>
    <col min="1" max="1" width="5" customWidth="1"/>
    <col min="2" max="2" width="4.86" customWidth="1"/>
    <col min="3" max="3" width="8" customWidth="1"/>
    <col min="4" max="6" width="7.86" customWidth="1"/>
    <col min="7" max="7" width="20.57" customWidth="1"/>
    <col min="8" max="8" width="8" customWidth="1"/>
    <col min="9" max="11" width="7.86" customWidth="1"/>
    <col min="12" max="12" width="19.14" customWidth="1"/>
    <col min="13" max="13" width="11.71" customWidth="1"/>
    <col min="14" max="15" width="8.29" customWidth="1"/>
    <col min="16" max="17" width="8" customWidth="1"/>
    <col min="18" max="18" width="13.57" customWidth="1"/>
    <col min="19" max="21" width="8" customWidth="1"/>
    <col min="22" max="23" width="11.71" customWidth="1"/>
    <col min="24" max="24" width="4.86" customWidth="1"/>
    <col min="25" max="25" width="11.71" customWidth="1"/>
    <col min="26" max="27" width="7.86" customWidth="1"/>
    <col min="28" max="29" width="18.14" customWidth="1"/>
    <col min="30" max="31" width="8" customWidth="1"/>
    <col min="32" max="32" width="15.29" customWidth="1"/>
    <col min="33" max="33" width="11.71" customWidth="1"/>
    <col min="34" max="35" width="9.86" customWidth="1"/>
  </cols>
  <sheetData>
    <row r="1">
      <c r="A1" s="1"/>
      <c r="B1" t="inlineStr" s="1">
        <is>
          <t>资
产
收
支
表</t>
        </is>
      </c>
      <c r="C1" s="1"/>
      <c r="D1" t="inlineStr" s="1">
        <is>
          <t>成员A工资</t>
        </is>
      </c>
      <c r="E1" t="inlineStr" s="1">
        <is>
          <t>成员B工资</t>
        </is>
      </c>
      <c r="F1" t="inlineStr" s="1">
        <is>
          <t>其他收入</t>
        </is>
      </c>
      <c r="G1" t="inlineStr" s="1">
        <is>
          <t>收入说明</t>
        </is>
      </c>
      <c r="H1" s="1"/>
      <c r="I1" t="inlineStr" s="1">
        <is>
          <t>固定支出</t>
        </is>
      </c>
      <c r="J1" t="inlineStr" s="1">
        <is>
          <t>弹性支出</t>
        </is>
      </c>
      <c r="K1" t="inlineStr" s="1">
        <is>
          <t>特殊支出</t>
        </is>
      </c>
      <c r="L1" t="inlineStr" s="1">
        <is>
          <t>支出说明</t>
        </is>
      </c>
      <c r="M1" s="1"/>
      <c r="N1" t="inlineStr" s="1">
        <is>
          <t>公司股权/RSU数量</t>
        </is>
      </c>
      <c r="O1" t="inlineStr" s="1">
        <is>
          <t>公司股权/RSU金额</t>
        </is>
      </c>
      <c r="P1" t="inlineStr" s="1">
        <is>
          <t>资产收入</t>
        </is>
      </c>
      <c r="Q1" t="inlineStr" s="1">
        <is>
          <t>资产减损</t>
        </is>
      </c>
      <c r="R1" t="inlineStr" s="1">
        <is>
          <t>资产收支说明</t>
        </is>
      </c>
      <c r="S1" s="1"/>
      <c r="T1" t="inlineStr" s="1">
        <is>
          <t>本行收支</t>
        </is>
      </c>
      <c r="U1" t="inlineStr" s="1">
        <is>
          <t>累计收支</t>
        </is>
      </c>
      <c r="V1" t="inlineStr" s="1">
        <is>
          <t>本行资产增量</t>
        </is>
      </c>
      <c r="W1" t="inlineStr" s="1">
        <is>
          <t>累计资产增量</t>
        </is>
      </c>
      <c r="X1" t="inlineStr" s="1">
        <is>
          <t>现
金
流
表</t>
        </is>
      </c>
      <c r="Y1" s="1"/>
      <c r="Z1" t="inlineStr" s="1">
        <is>
          <t>定期转化</t>
        </is>
      </c>
      <c r="AA1" t="inlineStr" s="1">
        <is>
          <t>其他转化</t>
        </is>
      </c>
      <c r="AB1" t="inlineStr" s="1">
        <is>
          <t>资产转化说明</t>
        </is>
      </c>
      <c r="AC1" s="1"/>
      <c r="AD1" t="inlineStr" s="1">
        <is>
          <t>定期赎回</t>
        </is>
      </c>
      <c r="AE1" t="inlineStr" s="1">
        <is>
          <t>资产赎回</t>
        </is>
      </c>
      <c r="AF1" t="inlineStr" s="1">
        <is>
          <t>资产赎回说明</t>
        </is>
      </c>
      <c r="AG1" s="1"/>
      <c r="AH1" t="inlineStr" s="1">
        <is>
          <t>本行现金流</t>
        </is>
      </c>
      <c r="AI1" t="inlineStr" s="1">
        <is>
          <t>累计现金流</t>
        </is>
      </c>
    </row>
    <row r="2">
      <c r="A2" t="inlineStr">
        <is>
          <t>起始</t>
        </is>
      </c>
      <c r="B2" s="1"/>
      <c r="N2" t="inlineStr">
        <is>
          <t>RSU计价</t>
        </is>
      </c>
      <c r="X2" s="1"/>
    </row>
    <row r="3">
      <c r="A3" t="inlineStr">
        <is>
          <t>1月</t>
        </is>
      </c>
      <c r="B3" s="1"/>
      <c r="O3">
        <f>N3*O2</f>
      </c>
      <c r="T3">
        <f>D3+E3+F3-I3-J3-K3</f>
      </c>
      <c r="U3">
        <f>U2+T3</f>
      </c>
      <c r="V3">
        <f>T3+O3+P3-Q3</f>
      </c>
      <c r="W3">
        <f>W2+V3</f>
      </c>
      <c r="X3" s="1"/>
      <c r="AH3">
        <f>T3-Z3-AA3+AD3+AE3</f>
      </c>
      <c r="AI3">
        <f>AI2+AH3</f>
      </c>
    </row>
    <row r="4">
      <c r="A4" t="inlineStr">
        <is>
          <t>2月</t>
        </is>
      </c>
      <c r="B4" s="1"/>
      <c r="O4">
        <f>N4*O2</f>
      </c>
      <c r="T4">
        <f>D4+E4+F4-I4-J4-K4</f>
      </c>
      <c r="U4">
        <f>U3+T4</f>
      </c>
      <c r="V4">
        <f>T4+O4+P4-Q4</f>
      </c>
      <c r="W4">
        <f>W3+V4</f>
      </c>
      <c r="X4" s="1"/>
      <c r="AH4">
        <f>T4-Z4-AA4+AD4+AE4</f>
      </c>
      <c r="AI4">
        <f>AI3+AH4</f>
      </c>
    </row>
    <row r="5">
      <c r="A5" t="inlineStr">
        <is>
          <t>3月</t>
        </is>
      </c>
      <c r="B5" s="1"/>
      <c r="O5">
        <f>N5*O2</f>
      </c>
      <c r="T5">
        <f>D5+E5+F5-I5-J5-K5</f>
      </c>
      <c r="U5">
        <f>U4+T5</f>
      </c>
      <c r="V5">
        <f>T5+O5+P5-Q5</f>
      </c>
      <c r="W5">
        <f>W4+V5</f>
      </c>
      <c r="X5" s="1"/>
      <c r="AH5">
        <f>T5-Z5-AA5+AD5+AE5</f>
      </c>
      <c r="AI5">
        <f>AI4+AH5</f>
      </c>
    </row>
    <row r="6">
      <c r="A6" t="inlineStr">
        <is>
          <t>4月</t>
        </is>
      </c>
      <c r="B6" s="1"/>
      <c r="O6">
        <f>N6*O2</f>
      </c>
      <c r="T6">
        <f>D6+E6+F6-I6-J6-K6</f>
      </c>
      <c r="U6">
        <f>U5+T6</f>
      </c>
      <c r="V6">
        <f>T6+O6+P6-Q6</f>
      </c>
      <c r="W6">
        <f>W5+V6</f>
      </c>
      <c r="X6" s="1"/>
      <c r="AH6">
        <f>T6-Z6-AA6+AD6+AE6</f>
      </c>
      <c r="AI6">
        <f>AI5+AH6</f>
      </c>
    </row>
    <row r="7">
      <c r="A7" t="inlineStr">
        <is>
          <t>5月</t>
        </is>
      </c>
      <c r="B7" s="1"/>
      <c r="O7">
        <f>N7*O2</f>
      </c>
      <c r="T7">
        <f>D7+E7+F7-I7-J7-K7</f>
      </c>
      <c r="U7">
        <f>U6+T7</f>
      </c>
      <c r="V7">
        <f>T7+O7+P7-Q7</f>
      </c>
      <c r="W7">
        <f>W6+V7</f>
      </c>
      <c r="X7" s="1"/>
      <c r="AH7">
        <f>T7-Z7-AA7+AD7+AE7</f>
      </c>
      <c r="AI7">
        <f>AI6+AH7</f>
      </c>
    </row>
    <row r="8">
      <c r="A8" t="inlineStr">
        <is>
          <t>6月</t>
        </is>
      </c>
      <c r="B8" s="1"/>
      <c r="O8">
        <f>N8*O2</f>
      </c>
      <c r="T8">
        <f>D8+E8+F8-I8-J8-K8</f>
      </c>
      <c r="U8">
        <f>U7+T8</f>
      </c>
      <c r="V8">
        <f>T8+O8+P8-Q8</f>
      </c>
      <c r="W8">
        <f>W7+V8</f>
      </c>
      <c r="X8" s="1"/>
      <c r="AH8">
        <f>T8-Z8-AA8+AD8+AE8</f>
      </c>
      <c r="AI8">
        <f>AI7+AH8</f>
      </c>
    </row>
    <row r="9">
      <c r="A9" t="inlineStr">
        <is>
          <t>7月</t>
        </is>
      </c>
      <c r="B9" s="1"/>
      <c r="O9">
        <f>N9*O2</f>
      </c>
      <c r="T9">
        <f>D9+E9+F9-I9-J9-K9</f>
      </c>
      <c r="U9">
        <f>U8+T9</f>
      </c>
      <c r="V9">
        <f>T9+O9+P9-Q9</f>
      </c>
      <c r="W9">
        <f>W8+V9</f>
      </c>
      <c r="X9" s="1"/>
      <c r="AH9">
        <f>T9-Z9-AA9+AD9+AE9</f>
      </c>
      <c r="AI9">
        <f>AI8+AH9</f>
      </c>
    </row>
    <row r="10">
      <c r="A10" t="inlineStr">
        <is>
          <t>8月</t>
        </is>
      </c>
      <c r="B10" s="1"/>
      <c r="O10">
        <f>N10*O2</f>
      </c>
      <c r="T10">
        <f>D10+E10+F10-I10-J10-K10</f>
      </c>
      <c r="U10">
        <f>U9+T10</f>
      </c>
      <c r="V10">
        <f>T10+O10+P10-Q10</f>
      </c>
      <c r="W10">
        <f>W9+V10</f>
      </c>
      <c r="X10" s="1"/>
      <c r="AH10">
        <f>T10-Z10-AA10+AD10+AE10</f>
      </c>
      <c r="AI10">
        <f>AI9+AH10</f>
      </c>
    </row>
    <row r="11">
      <c r="A11" t="inlineStr">
        <is>
          <t>9月</t>
        </is>
      </c>
      <c r="B11" s="1"/>
      <c r="O11">
        <f>N11*O2</f>
      </c>
      <c r="T11">
        <f>D11+E11+F11-I11-J11-K11</f>
      </c>
      <c r="U11">
        <f>U10+T11</f>
      </c>
      <c r="V11">
        <f>T11+O11+P11-Q11</f>
      </c>
      <c r="W11">
        <f>W10+V11</f>
      </c>
      <c r="X11" s="1"/>
      <c r="AH11">
        <f>T11-Z11-AA11+AD11+AE11</f>
      </c>
      <c r="AI11">
        <f>AI10+AH11</f>
      </c>
    </row>
    <row r="12">
      <c r="A12" t="inlineStr">
        <is>
          <t>10月</t>
        </is>
      </c>
      <c r="B12" s="1"/>
      <c r="O12">
        <f>N12*O2</f>
      </c>
      <c r="T12">
        <f>D12+E12+F12-I12-J12-K12</f>
      </c>
      <c r="U12">
        <f>U11+T12</f>
      </c>
      <c r="V12">
        <f>T12+O12+P12-Q12</f>
      </c>
      <c r="W12">
        <f>W11+V12</f>
      </c>
      <c r="X12" s="1"/>
      <c r="AH12">
        <f>T12-Z12-AA12+AD12+AE12</f>
      </c>
      <c r="AI12">
        <f>AI11+AH12</f>
      </c>
    </row>
    <row r="13">
      <c r="A13" t="inlineStr">
        <is>
          <t>11月</t>
        </is>
      </c>
      <c r="B13" s="1"/>
      <c r="O13">
        <f>N13*O2</f>
      </c>
      <c r="T13">
        <f>D13+E13+F13-I13-J13-K13</f>
      </c>
      <c r="U13">
        <f>U12+T13</f>
      </c>
      <c r="V13">
        <f>T13+O13+P13-Q13</f>
      </c>
      <c r="W13">
        <f>W12+V13</f>
      </c>
      <c r="X13" s="1"/>
      <c r="AH13">
        <f>T13-Z13-AA13+AD13+AE13</f>
      </c>
      <c r="AI13">
        <f>AI12+AH13</f>
      </c>
    </row>
    <row r="14">
      <c r="A14" t="inlineStr">
        <is>
          <t>12月</t>
        </is>
      </c>
      <c r="B14" s="1"/>
      <c r="O14">
        <f>N14*O2</f>
      </c>
      <c r="T14">
        <f>D14+E14+F14-I14-J14-K14</f>
      </c>
      <c r="U14">
        <f>U13+T14</f>
      </c>
      <c r="V14">
        <f>T14+O14+P14-Q14</f>
      </c>
      <c r="W14">
        <f>W13+V14</f>
      </c>
      <c r="X14" s="1"/>
      <c r="AH14">
        <f>T14-Z14-AA14+AD14+AE14</f>
      </c>
      <c r="AI14">
        <f>AI13+AH14</f>
      </c>
    </row>
    <row r="15">
      <c r="B15" s="1"/>
      <c r="X15" s="1"/>
    </row>
    <row r="16">
      <c r="B16" s="1"/>
      <c r="C16" t="inlineStr" s="1">
        <is>
          <t>收入小记</t>
        </is>
      </c>
      <c r="D16">
        <f>SUM(D3:D14)</f>
      </c>
      <c r="E16">
        <f>SUM(E3:E14)</f>
      </c>
      <c r="F16">
        <f>SUM(F3:F14)</f>
      </c>
      <c r="H16" t="inlineStr" s="1">
        <is>
          <t>支出小记</t>
        </is>
      </c>
      <c r="I16">
        <f>SUM(I3:I14)</f>
      </c>
      <c r="J16">
        <f>SUM(J3:J14)</f>
      </c>
      <c r="K16">
        <f>SUM(K3:K14)</f>
      </c>
      <c r="M16" t="inlineStr" s="1">
        <is>
          <t>资产小记</t>
        </is>
      </c>
      <c r="N16">
        <f>SUM(N3:N14)</f>
      </c>
      <c r="O16">
        <f>SUM(O3:O14)</f>
      </c>
      <c r="P16">
        <f>SUM(P3:P14)</f>
      </c>
      <c r="Q16">
        <f>SUM(Q3:Q14)</f>
      </c>
      <c r="S16" t="inlineStr" s="1">
        <is>
          <t>现金结余</t>
        </is>
      </c>
      <c r="T16">
        <f>D17-I17</f>
      </c>
      <c r="X16" s="1"/>
      <c r="Y16" t="inlineStr" s="1">
        <is>
          <t>资产转化小计</t>
        </is>
      </c>
      <c r="Z16">
        <f>SUM(Z3:Z14)</f>
      </c>
      <c r="AA16">
        <f>SUM(AA3:AA14)</f>
      </c>
      <c r="AC16" t="inlineStr" s="1">
        <is>
          <t>资产赎回小计</t>
        </is>
      </c>
      <c r="AD16">
        <f>SUM(AD3:AD14)</f>
      </c>
      <c r="AE16">
        <f>SUM(AE3:AE14)</f>
      </c>
      <c r="AG16" t="inlineStr" s="1">
        <is>
          <t>现金净增加额</t>
        </is>
      </c>
      <c r="AH16">
        <f>T16-Z17+AD17</f>
      </c>
    </row>
    <row r="17">
      <c r="B17" s="1"/>
      <c r="C17" t="inlineStr" s="1">
        <is>
          <t>收入总计</t>
        </is>
      </c>
      <c r="D17">
        <f>SUM(D16:F16)</f>
      </c>
      <c r="H17" t="inlineStr" s="1">
        <is>
          <t>支出总计</t>
        </is>
      </c>
      <c r="I17">
        <f>SUM(I16:K16)</f>
      </c>
      <c r="M17" t="inlineStr" s="1">
        <is>
          <t>资产收支总计</t>
        </is>
      </c>
      <c r="N17">
        <f>O16+P16-Q16</f>
      </c>
      <c r="S17" t="inlineStr" s="1">
        <is>
          <t>资产结余</t>
        </is>
      </c>
      <c r="T17">
        <f>T16+N17</f>
      </c>
      <c r="X17" s="1"/>
      <c r="Y17" t="inlineStr" s="1">
        <is>
          <t>资产转化总计</t>
        </is>
      </c>
      <c r="Z17">
        <f>Z16+AA16</f>
      </c>
      <c r="AC17" t="inlineStr" s="1">
        <is>
          <t>资产赎回总计</t>
        </is>
      </c>
      <c r="AD17">
        <f>AD16+AE16</f>
      </c>
      <c r="AG17" s="1"/>
    </row>
    <row r="18">
      <c r="B18" s="1"/>
      <c r="C18" t="inlineStr" s="1">
        <is>
          <t>收入说明</t>
        </is>
      </c>
      <c r="D18" t="inlineStr">
        <is>
          <t>主要记录工资等现金收入；奖金、退税等非周期收入记入“其他收入”并补充说明。</t>
        </is>
      </c>
      <c r="H18" t="inlineStr" s="1">
        <is>
          <t>支出说明</t>
        </is>
      </c>
      <c r="I18" t="inlineStr">
        <is>
          <t>固定支出记录房贷利息、租金、保险等稳定支出；弹性支出记录生活消费；特殊支出记录非周期大额事项。</t>
        </is>
      </c>
      <c r="M18" t="inlineStr" s="1">
        <is>
          <t>资产收支说明</t>
        </is>
      </c>
      <c r="N18" t="inlineStr">
        <is>
          <t>资产收入记录没有经过现金账户、直接增加资产的项目，例如住房公积金；公司股权/RSU单独列出。资产减损记录折旧或其他资产损失。</t>
        </is>
      </c>
      <c r="S18" t="inlineStr" s="1">
        <is>
          <t>结余说明</t>
        </is>
      </c>
      <c r="T18" t="inlineStr">
        <is>
          <t>现金结余为收入减支出；资产结余为现金结余加非现金资产净增加。</t>
        </is>
      </c>
      <c r="X18" s="1"/>
      <c r="Y18" t="inlineStr" s="1">
        <is>
          <t>资产转化说明</t>
        </is>
      </c>
      <c r="Z18" t="inlineStr">
        <is>
          <t>记录现金转为其他资产或偿还债务本金的事项；这些事项影响现金流，但不直接改变净资产。</t>
        </is>
      </c>
      <c r="AC18" t="inlineStr" s="1">
        <is>
          <t>资产赎回说明</t>
        </is>
      </c>
      <c r="AD18" t="inlineStr">
        <is>
          <t>记录资产赎回或出售后转为现金的事项；这些事项影响现金流，但不直接改变净资产。</t>
        </is>
      </c>
      <c r="AG18" t="inlineStr" s="1">
        <is>
          <t>说明</t>
        </is>
      </c>
      <c r="AH18" t="inlineStr">
        <is>
          <t>为保护隐私，本表只展示现金净增加额，不记录期初或期末现金余额。</t>
        </is>
      </c>
    </row>
  </sheetData>
  <mergeCells count="18">
    <mergeCell ref="B1:B18"/>
    <mergeCell ref="X1:X18"/>
    <mergeCell ref="D17:F17"/>
    <mergeCell ref="D18:G18"/>
    <mergeCell ref="I17:K17"/>
    <mergeCell ref="I18:L18"/>
    <mergeCell ref="N17:Q17"/>
    <mergeCell ref="N18:R18"/>
    <mergeCell ref="T16:W16"/>
    <mergeCell ref="T17:W17"/>
    <mergeCell ref="T18:W18"/>
    <mergeCell ref="Z17:AA17"/>
    <mergeCell ref="Z18:AB18"/>
    <mergeCell ref="AD17:AE17"/>
    <mergeCell ref="AD18:AF18"/>
    <mergeCell ref="AG16:AG17"/>
    <mergeCell ref="AH16:AI17"/>
    <mergeCell ref="AH18:AI18"/>
  </mergeCells>
</worksheet>
</file>

<file path=xl/worksheets/sheet5.xml><?xml version="1.0" encoding="utf-8"?>
<worksheet xmlns="http://schemas.openxmlformats.org/spreadsheetml/2006/main">
  <dimension ref="A1:M21"/>
  <sheetViews>
    <sheetView workbookViewId="0"/>
  </sheetViews>
  <sheetFormatPr defaultRowHeight="20.25"/>
  <sheetData>
    <row r="1">
      <c r="A1" t="inlineStr" s="1">
        <is>
          <t>债务项</t>
        </is>
      </c>
      <c r="B1" t="inlineStr" s="1">
        <is>
          <t>利率</t>
        </is>
      </c>
      <c r="C1" t="inlineStr" s="1">
        <is>
          <t>现值(万)</t>
        </is>
      </c>
      <c r="D1" s="1"/>
      <c r="E1" t="inlineStr" s="1">
        <is>
          <t>流动资产项</t>
        </is>
      </c>
      <c r="F1" t="inlineStr" s="1">
        <is>
          <t>成本(万)</t>
        </is>
      </c>
      <c r="G1" t="inlineStr" s="1">
        <is>
          <t>现值(万)</t>
        </is>
      </c>
      <c r="H1" t="inlineStr" s="1">
        <is>
          <t>占比</t>
        </is>
      </c>
      <c r="I1" t="inlineStr" s="1">
        <is>
          <t>未来合理占比</t>
        </is>
      </c>
      <c r="J1" s="1"/>
      <c r="K1" t="inlineStr" s="1">
        <is>
          <t>非流动资产项</t>
        </is>
      </c>
      <c r="L1" t="inlineStr" s="1">
        <is>
          <t>成本(万)</t>
        </is>
      </c>
      <c r="M1" t="inlineStr" s="1">
        <is>
          <t>现值(万)</t>
        </is>
      </c>
    </row>
    <row r="2">
      <c r="A2" t="inlineStr">
        <is>
          <t>住房贷款</t>
        </is>
      </c>
      <c r="B2" s="2"/>
      <c r="E2" t="inlineStr" s="1">
        <is>
          <t>防御层</t>
        </is>
      </c>
      <c r="F2" s="1"/>
      <c r="G2" s="1"/>
      <c r="H2" s="3">
        <f>SUM(H3:H10)</f>
      </c>
      <c r="I2" s="4">
        <v>0.4</v>
      </c>
      <c r="K2" t="inlineStr">
        <is>
          <t>房产</t>
        </is>
      </c>
    </row>
    <row r="3">
      <c r="A3" t="inlineStr">
        <is>
          <t>消费贷/备用贷款</t>
        </is>
      </c>
      <c r="B3" s="2"/>
      <c r="E3" t="inlineStr">
        <is>
          <t>现金</t>
        </is>
      </c>
      <c r="H3" s="2">
        <f>IFERROR(G3/G20,0)</f>
      </c>
      <c r="I3" t="inlineStr">
        <is>
          <t>现金与公积金
5%</t>
        </is>
      </c>
      <c r="K3" t="inlineStr">
        <is>
          <t>车位/其他不动产</t>
        </is>
      </c>
    </row>
    <row r="4">
      <c r="A4" t="inlineStr">
        <is>
          <t>车贷</t>
        </is>
      </c>
      <c r="B4" s="2"/>
      <c r="E4" t="inlineStr">
        <is>
          <t>公积金账户</t>
        </is>
      </c>
      <c r="H4" s="2">
        <f>IFERROR(G4/G20,0)</f>
      </c>
      <c r="K4" t="inlineStr">
        <is>
          <t>车辆资产</t>
        </is>
      </c>
    </row>
    <row r="5">
      <c r="B5" s="2"/>
      <c r="E5" t="inlineStr">
        <is>
          <t>中短期债券</t>
        </is>
      </c>
      <c r="H5" s="2">
        <f>IFERROR(G5/G20,0)</f>
      </c>
      <c r="I5" t="inlineStr">
        <is>
          <t>债券与定存
20%</t>
        </is>
      </c>
    </row>
    <row r="6">
      <c r="B6" s="2"/>
      <c r="E6" t="inlineStr">
        <is>
          <t>定期存款</t>
        </is>
      </c>
      <c r="H6" s="2">
        <f>IFERROR(G6/G20,0)</f>
      </c>
    </row>
    <row r="7">
      <c r="B7" s="2"/>
      <c r="E7" t="inlineStr">
        <is>
          <t>外币定存</t>
        </is>
      </c>
      <c r="H7" s="2">
        <f>IFERROR(G7/G20,0)</f>
      </c>
    </row>
    <row r="8">
      <c r="B8" s="2"/>
      <c r="E8" t="inlineStr">
        <is>
          <t>短期美债</t>
        </is>
      </c>
      <c r="H8" s="2">
        <f>IFERROR(G8/G20,0)</f>
      </c>
    </row>
    <row r="9">
      <c r="B9" s="2"/>
      <c r="E9" t="inlineStr">
        <is>
          <t>实物黄金</t>
        </is>
      </c>
      <c r="H9" s="2">
        <f>IFERROR(G9/G20,0)</f>
      </c>
      <c r="I9" t="inlineStr">
        <is>
          <t>黄金
15%</t>
        </is>
      </c>
    </row>
    <row r="10">
      <c r="B10" s="2"/>
      <c r="E10" t="inlineStr">
        <is>
          <t>黄金积存</t>
        </is>
      </c>
      <c r="H10" s="2">
        <f>IFERROR(G10/G20,0)</f>
      </c>
    </row>
    <row r="11">
      <c r="B11" s="2"/>
      <c r="E11" t="inlineStr" s="1">
        <is>
          <t>Beta层</t>
        </is>
      </c>
      <c r="F11" s="1"/>
      <c r="G11" s="1"/>
      <c r="H11" s="3">
        <f>SUM(H12:H15)</f>
      </c>
      <c r="I11" s="4">
        <v>0.4</v>
      </c>
    </row>
    <row r="12">
      <c r="B12" s="2"/>
      <c r="E12" t="inlineStr">
        <is>
          <t>境内宽基基金</t>
        </is>
      </c>
      <c r="H12" s="2">
        <f>IFERROR(G12/G20,0)</f>
      </c>
      <c r="I12" t="inlineStr">
        <is>
          <t>宽基指数
35%</t>
        </is>
      </c>
    </row>
    <row r="13">
      <c r="B13" s="2"/>
      <c r="E13" t="inlineStr">
        <is>
          <t>海外指数账户</t>
        </is>
      </c>
      <c r="H13" s="2">
        <f>IFERROR(G13/G20,0)</f>
      </c>
    </row>
    <row r="14">
      <c r="B14" s="2"/>
      <c r="E14" t="inlineStr">
        <is>
          <t>个人养老金账户A</t>
        </is>
      </c>
      <c r="H14" s="2">
        <f>IFERROR(G14/G20,0)</f>
      </c>
      <c r="I14" t="inlineStr">
        <is>
          <t>个人养老金
5%</t>
        </is>
      </c>
    </row>
    <row r="15">
      <c r="B15" s="2"/>
      <c r="E15" t="inlineStr">
        <is>
          <t>个人养老金账户B</t>
        </is>
      </c>
      <c r="H15" s="2">
        <f>IFERROR(G15/G20,0)</f>
      </c>
    </row>
    <row r="16">
      <c r="B16" s="2"/>
      <c r="E16" t="inlineStr" s="1">
        <is>
          <t>Alpha层</t>
        </is>
      </c>
      <c r="F16" s="1"/>
      <c r="G16" s="1"/>
      <c r="H16" s="3">
        <f>SUM(H17:H19)</f>
      </c>
      <c r="I16" s="4">
        <v>0.2</v>
      </c>
    </row>
    <row r="17">
      <c r="B17" s="2"/>
      <c r="E17" t="inlineStr">
        <is>
          <t>个股/主动账户</t>
        </is>
      </c>
      <c r="H17" s="2">
        <f>IFERROR(G17/G20,0)</f>
      </c>
      <c r="I17" t="inlineStr">
        <is>
          <t>主动投资
20%</t>
        </is>
      </c>
    </row>
    <row r="18">
      <c r="B18" s="2"/>
      <c r="E18" t="inlineStr">
        <is>
          <t>数字资产</t>
        </is>
      </c>
      <c r="H18" s="2">
        <f>IFERROR(G18/G20,0)</f>
      </c>
    </row>
    <row r="19">
      <c r="B19" s="2"/>
      <c r="E19" t="inlineStr">
        <is>
          <t>公司股权/RSU</t>
        </is>
      </c>
      <c r="H19" s="2">
        <f>IFERROR(G19/G20,0)</f>
      </c>
    </row>
    <row r="20">
      <c r="A20" t="inlineStr" s="1">
        <is>
          <t>负债总计</t>
        </is>
      </c>
      <c r="B20">
        <f>SUM(C2:C19)</f>
      </c>
      <c r="E20" t="inlineStr" s="1">
        <is>
          <t>流动资产总计</t>
        </is>
      </c>
      <c r="F20">
        <f>SUM(F3:F19)</f>
      </c>
      <c r="G20">
        <f>SUM(G3:G19)</f>
      </c>
      <c r="K20" t="inlineStr" s="1">
        <is>
          <t>固定资产总计</t>
        </is>
      </c>
      <c r="L20">
        <f>SUM(L2:L19)</f>
      </c>
      <c r="M20">
        <f>SUM(M2:M19)</f>
      </c>
    </row>
    <row r="21">
      <c r="K21" t="inlineStr" s="1">
        <is>
          <t>净资产</t>
        </is>
      </c>
      <c r="L21">
        <f>-B20+G20+M20</f>
      </c>
    </row>
  </sheetData>
  <mergeCells count="8">
    <mergeCell ref="I3:I4"/>
    <mergeCell ref="I5:I8"/>
    <mergeCell ref="I9:I10"/>
    <mergeCell ref="I12:I13"/>
    <mergeCell ref="I14:I15"/>
    <mergeCell ref="I17:I19"/>
    <mergeCell ref="B20:C20"/>
    <mergeCell ref="L21:M21"/>
  </mergeCells>
</worksheet>
</file>

<file path=docProps/app.xml><?xml version="1.0" encoding="utf-8"?>
<Properties xmlns="http://schemas.openxmlformats.org/officeDocument/2006/extended-properties">
  <Application>family-finance skill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Family Finance Template</dc:title>
  <dc:creator>family-finance skill</dc:creator>
  <dcterms:created xsi:type="dcterms:W3CDTF">2026-05-25T00:00:00Z</dcterms:created>
</cp:coreProperties>
</file>